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June-2022" sheetId="1" r:id="rId1"/>
    <sheet name="Jun-22 Prdn Plan" sheetId="2" r:id="rId2"/>
    <sheet name="Jul-22 Prdn Plan" sheetId="3" r:id="rId3"/>
    <sheet name="Aug-22 Prdn Plan" sheetId="4" r:id="rId4"/>
    <sheet name="Sep-22 prdn plan" sheetId="5" r:id="rId5"/>
    <sheet name="Oct-22 Prdn.Plan" sheetId="6" r:id="rId6"/>
    <sheet name="Nov-22 Prdn.Plan" sheetId="7" r:id="rId7"/>
    <sheet name="Dec-22 Prdn. Plan" sheetId="8" r:id="rId8"/>
  </sheets>
  <calcPr calcId="144525"/>
</workbook>
</file>

<file path=xl/calcChain.xml><?xml version="1.0" encoding="utf-8"?>
<calcChain xmlns="http://schemas.openxmlformats.org/spreadsheetml/2006/main">
  <c r="B20" i="6" l="1"/>
  <c r="F20" i="6"/>
  <c r="E20" i="6"/>
  <c r="D20" i="6"/>
  <c r="C20" i="6"/>
  <c r="C25" i="5"/>
  <c r="D25" i="5"/>
  <c r="E25" i="5"/>
  <c r="F25" i="5"/>
  <c r="B25" i="5"/>
  <c r="B21" i="7"/>
  <c r="F21" i="7"/>
  <c r="E21" i="7"/>
  <c r="D21" i="7"/>
  <c r="C21" i="7"/>
  <c r="T31" i="1" l="1"/>
  <c r="J30" i="1"/>
  <c r="D29" i="1"/>
  <c r="D30" i="1" s="1"/>
  <c r="E29" i="1"/>
  <c r="F29" i="1"/>
  <c r="G29" i="1"/>
  <c r="G30" i="1" s="1"/>
  <c r="H29" i="1"/>
  <c r="H31" i="1" s="1"/>
  <c r="I29" i="1"/>
  <c r="J29" i="1"/>
  <c r="K29" i="1"/>
  <c r="K31" i="1" s="1"/>
  <c r="L29" i="1"/>
  <c r="N31" i="1" s="1"/>
  <c r="M29" i="1"/>
  <c r="M30" i="1" s="1"/>
  <c r="N29" i="1"/>
  <c r="O29" i="1"/>
  <c r="Q31" i="1" s="1"/>
  <c r="P29" i="1"/>
  <c r="P30" i="1" s="1"/>
  <c r="Q29" i="1"/>
  <c r="R29" i="1"/>
  <c r="S29" i="1"/>
  <c r="S30" i="1" s="1"/>
  <c r="T29" i="1"/>
  <c r="C29" i="1"/>
  <c r="E31" i="1" s="1"/>
  <c r="D33" i="1" l="1"/>
  <c r="D34" i="1"/>
</calcChain>
</file>

<file path=xl/sharedStrings.xml><?xml version="1.0" encoding="utf-8"?>
<sst xmlns="http://schemas.openxmlformats.org/spreadsheetml/2006/main" count="191" uniqueCount="61">
  <si>
    <t>3 ltr Instabliss</t>
  </si>
  <si>
    <t>3 ltr Instabliss White</t>
  </si>
  <si>
    <t>3 ltr Hydrajet</t>
  </si>
  <si>
    <t>10 ltr Amica Plus</t>
  </si>
  <si>
    <t>15 ltr Amica Plus</t>
  </si>
  <si>
    <t>25 ltr Amica Plus</t>
  </si>
  <si>
    <t>10 ltr Sol.Care</t>
  </si>
  <si>
    <t>15 ltr Sol.Care</t>
  </si>
  <si>
    <t>25 ltr Sol.Care</t>
  </si>
  <si>
    <t>10 ltr Sol.Care Dummy</t>
  </si>
  <si>
    <t>15 ltr Sol.Care Dummy</t>
  </si>
  <si>
    <t>Sl.No</t>
  </si>
  <si>
    <t>Model Name</t>
  </si>
  <si>
    <t>Total Plan</t>
  </si>
  <si>
    <t>Total Produced</t>
  </si>
  <si>
    <t>Dispatch</t>
  </si>
  <si>
    <t>6 ltr Sol Care</t>
  </si>
  <si>
    <t>Total</t>
  </si>
  <si>
    <t>Production Adherence %</t>
  </si>
  <si>
    <t>Dispatch Adherence</t>
  </si>
  <si>
    <t>Over all Production Adherence</t>
  </si>
  <si>
    <t>Weekly Production Plan Jun-22</t>
  </si>
  <si>
    <t>Model</t>
  </si>
  <si>
    <t>1st week</t>
  </si>
  <si>
    <t>2nd week</t>
  </si>
  <si>
    <t>3rd week</t>
  </si>
  <si>
    <t>4th week</t>
  </si>
  <si>
    <t>July-2022 Production Plan</t>
  </si>
  <si>
    <t>Aug-2022 Production Plan</t>
  </si>
  <si>
    <t>Sept-2022 Production Plan</t>
  </si>
  <si>
    <t>Nov-2022 Production Plan</t>
  </si>
  <si>
    <t>Oct-2022 Production Plan</t>
  </si>
  <si>
    <t>Dec-2022 Production Plan</t>
  </si>
  <si>
    <t>Crompton</t>
  </si>
  <si>
    <t>Burly</t>
  </si>
  <si>
    <t>3 ltr Inst 3 Burly</t>
  </si>
  <si>
    <t>10 ltr Elegance Burly</t>
  </si>
  <si>
    <t>15 ltr Elegance Burly</t>
  </si>
  <si>
    <t>10 ltr Elecia Burly</t>
  </si>
  <si>
    <t>15 ltr Elecia Burly</t>
  </si>
  <si>
    <t>25 ltr Elecia Burly</t>
  </si>
  <si>
    <t>25 ltr Elegance Burly</t>
  </si>
  <si>
    <t>10 ltr Burly Pride</t>
  </si>
  <si>
    <t>15 ltr Burly Pride</t>
  </si>
  <si>
    <t>25 ltr Burly Pride</t>
  </si>
  <si>
    <t>10 ltr Cylandra</t>
  </si>
  <si>
    <t>15 ltr Cylandra</t>
  </si>
  <si>
    <t>25 ltr Cylandra</t>
  </si>
  <si>
    <t>Usha</t>
  </si>
  <si>
    <t>10 ltr Square Omen</t>
  </si>
  <si>
    <t>15 ltr Square Omen</t>
  </si>
  <si>
    <t>25 ltr Square Omen</t>
  </si>
  <si>
    <t>Omen</t>
  </si>
  <si>
    <t>10 ltr Adena Burly</t>
  </si>
  <si>
    <t>15 ltr Round Omen</t>
  </si>
  <si>
    <t>10 ltr Burly Pride ABS</t>
  </si>
  <si>
    <t>15 ltr Adena Burly</t>
  </si>
  <si>
    <t>25 ltr Adena Burly</t>
  </si>
  <si>
    <t>6 ltr Cylandra</t>
  </si>
  <si>
    <t>Over all Dispatch Adherence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</si>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</sst>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0" fillId="0" borderId="4" xfId="0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/>
    <xf numFmtId="0" fontId="1" fillId="0" borderId="15" xfId="0" applyFont="1" applyFill="1" applyBorder="1"/>
    <xf numFmtId="0" fontId="1" fillId="0" borderId="16" xfId="0" applyFont="1" applyBorder="1"/>
    <xf numFmtId="0" fontId="1" fillId="0" borderId="17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2" fontId="0" fillId="2" borderId="0" xfId="0" applyNumberFormat="1" applyFill="1"/>
    <xf numFmtId="2" fontId="0" fillId="2" borderId="1" xfId="0" applyNumberFormat="1" applyFill="1" applyBorder="1"/>
    <xf numFmtId="0" fontId="0" fillId="0" borderId="18" xfId="0" applyFill="1" applyBorder="1"/>
    <xf numFmtId="0" fontId="0" fillId="0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3" xfId="0" applyBorder="1"/>
    <xf numFmtId="0" fontId="1" fillId="0" borderId="0" xfId="0" applyFont="1" applyBorder="1"/>
    <xf numFmtId="17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defaultRowHeight="15" x14ac:dyDescent="0.25"/>
  <cols>
    <col min="1" max="1" width="5.7109375" bestFit="1" customWidth="1"/>
    <col min="2" max="2" width="23.28515625" bestFit="1" customWidth="1"/>
    <col min="3" max="3" width="9.7109375" bestFit="1" customWidth="1"/>
    <col min="4" max="4" width="14.42578125" bestFit="1" customWidth="1"/>
    <col min="5" max="5" width="13.42578125" customWidth="1"/>
    <col min="6" max="6" width="9.7109375" bestFit="1" customWidth="1"/>
    <col min="7" max="7" width="14.42578125" bestFit="1" customWidth="1"/>
    <col min="8" max="8" width="8.5703125" bestFit="1" customWidth="1"/>
    <col min="9" max="9" width="9.7109375" bestFit="1" customWidth="1"/>
    <col min="10" max="10" width="14.42578125" bestFit="1" customWidth="1"/>
    <col min="11" max="11" width="8.5703125" bestFit="1" customWidth="1"/>
    <col min="12" max="12" width="9.7109375" bestFit="1" customWidth="1"/>
    <col min="13" max="13" width="14.42578125" bestFit="1" customWidth="1"/>
    <col min="14" max="14" width="8.5703125" bestFit="1" customWidth="1"/>
    <col min="15" max="15" width="9.7109375" bestFit="1" customWidth="1"/>
    <col min="16" max="16" width="14.42578125" bestFit="1" customWidth="1"/>
    <col min="19" max="19" width="14.42578125" bestFit="1" customWidth="1"/>
  </cols>
  <sheetData>
    <row r="1" spans="1:20" ht="15.75" thickBot="1" x14ac:dyDescent="0.3">
      <c r="C1" s="31">
        <v>44713</v>
      </c>
      <c r="D1" s="32"/>
      <c r="E1" s="33"/>
      <c r="F1" s="31">
        <v>44743</v>
      </c>
      <c r="G1" s="32"/>
      <c r="H1" s="33"/>
      <c r="I1" s="31">
        <v>44774</v>
      </c>
      <c r="J1" s="32"/>
      <c r="K1" s="33"/>
      <c r="L1" s="31">
        <v>44805</v>
      </c>
      <c r="M1" s="32"/>
      <c r="N1" s="33"/>
      <c r="O1" s="31">
        <v>44835</v>
      </c>
      <c r="P1" s="32"/>
      <c r="Q1" s="33"/>
      <c r="R1" s="31">
        <v>44866</v>
      </c>
      <c r="S1" s="32"/>
      <c r="T1" s="33"/>
    </row>
    <row r="2" spans="1:20" x14ac:dyDescent="0.25">
      <c r="A2" s="1" t="s">
        <v>11</v>
      </c>
      <c r="B2" s="2" t="s">
        <v>12</v>
      </c>
      <c r="C2" s="4" t="s">
        <v>13</v>
      </c>
      <c r="D2" s="5" t="s">
        <v>14</v>
      </c>
      <c r="E2" s="6" t="s">
        <v>15</v>
      </c>
      <c r="F2" s="4" t="s">
        <v>13</v>
      </c>
      <c r="G2" s="5" t="s">
        <v>14</v>
      </c>
      <c r="H2" s="6" t="s">
        <v>15</v>
      </c>
      <c r="I2" s="4" t="s">
        <v>13</v>
      </c>
      <c r="J2" s="5" t="s">
        <v>14</v>
      </c>
      <c r="K2" s="6" t="s">
        <v>15</v>
      </c>
      <c r="L2" s="15" t="s">
        <v>13</v>
      </c>
      <c r="M2" s="14" t="s">
        <v>14</v>
      </c>
      <c r="N2" s="16" t="s">
        <v>15</v>
      </c>
      <c r="O2" s="4" t="s">
        <v>13</v>
      </c>
      <c r="P2" s="5" t="s">
        <v>14</v>
      </c>
      <c r="Q2" s="6" t="s">
        <v>15</v>
      </c>
      <c r="R2" s="4" t="s">
        <v>13</v>
      </c>
      <c r="S2" s="5" t="s">
        <v>14</v>
      </c>
      <c r="T2" s="6" t="s">
        <v>15</v>
      </c>
    </row>
    <row r="3" spans="1:20" x14ac:dyDescent="0.25">
      <c r="A3" s="1">
        <v>1</v>
      </c>
      <c r="B3" s="2" t="s">
        <v>0</v>
      </c>
      <c r="C3" s="7">
        <v>7093</v>
      </c>
      <c r="D3" s="1">
        <v>7360</v>
      </c>
      <c r="E3" s="8">
        <v>4100</v>
      </c>
      <c r="F3" s="7">
        <v>10000</v>
      </c>
      <c r="G3" s="1">
        <v>12814</v>
      </c>
      <c r="H3" s="9">
        <v>9972</v>
      </c>
      <c r="I3" s="7">
        <v>0</v>
      </c>
      <c r="J3" s="1">
        <v>4435</v>
      </c>
      <c r="K3" s="9"/>
      <c r="L3" s="17"/>
      <c r="M3" s="13"/>
      <c r="N3" s="18"/>
      <c r="O3" s="7"/>
      <c r="P3" s="1"/>
      <c r="Q3" s="9"/>
      <c r="R3" s="7">
        <v>3000</v>
      </c>
      <c r="S3" s="1">
        <v>0</v>
      </c>
      <c r="T3" s="9">
        <v>3000</v>
      </c>
    </row>
    <row r="4" spans="1:20" x14ac:dyDescent="0.25">
      <c r="A4" s="1">
        <v>2</v>
      </c>
      <c r="B4" s="2" t="s">
        <v>1</v>
      </c>
      <c r="C4" s="7"/>
      <c r="D4" s="1"/>
      <c r="E4" s="8"/>
      <c r="F4" s="7"/>
      <c r="G4" s="1"/>
      <c r="H4" s="9"/>
      <c r="I4" s="7">
        <v>1000</v>
      </c>
      <c r="J4" s="1">
        <v>1556</v>
      </c>
      <c r="K4" s="9">
        <v>1000</v>
      </c>
      <c r="L4" s="17"/>
      <c r="M4" s="13"/>
      <c r="N4" s="18"/>
      <c r="O4" s="7">
        <v>600</v>
      </c>
      <c r="P4" s="1"/>
      <c r="Q4" s="9">
        <v>548</v>
      </c>
      <c r="R4" s="7">
        <v>1700</v>
      </c>
      <c r="S4" s="1">
        <v>1648</v>
      </c>
      <c r="T4" s="9">
        <v>1356</v>
      </c>
    </row>
    <row r="5" spans="1:20" x14ac:dyDescent="0.25">
      <c r="A5" s="1">
        <v>3</v>
      </c>
      <c r="B5" s="2" t="s">
        <v>2</v>
      </c>
      <c r="C5" s="7"/>
      <c r="D5" s="1"/>
      <c r="E5" s="8"/>
      <c r="F5" s="7"/>
      <c r="G5" s="1"/>
      <c r="H5" s="9"/>
      <c r="I5" s="7"/>
      <c r="J5" s="1"/>
      <c r="K5" s="9"/>
      <c r="L5" s="17"/>
      <c r="M5" s="13"/>
      <c r="N5" s="18"/>
      <c r="O5" s="7">
        <v>2000</v>
      </c>
      <c r="P5" s="1">
        <v>2809</v>
      </c>
      <c r="Q5" s="9">
        <v>1996</v>
      </c>
      <c r="R5" s="7">
        <v>3000</v>
      </c>
      <c r="S5" s="1">
        <v>3133</v>
      </c>
      <c r="T5" s="9">
        <v>3492</v>
      </c>
    </row>
    <row r="6" spans="1:20" x14ac:dyDescent="0.25">
      <c r="A6" s="1">
        <v>4</v>
      </c>
      <c r="B6" s="2" t="s">
        <v>3</v>
      </c>
      <c r="C6" s="7">
        <v>1000</v>
      </c>
      <c r="D6" s="1">
        <v>712</v>
      </c>
      <c r="E6" s="8">
        <v>0</v>
      </c>
      <c r="F6" s="7">
        <v>1000</v>
      </c>
      <c r="G6" s="1">
        <v>1329</v>
      </c>
      <c r="H6" s="9">
        <v>1290</v>
      </c>
      <c r="I6" s="7">
        <v>1000</v>
      </c>
      <c r="J6" s="1">
        <v>1413</v>
      </c>
      <c r="K6" s="9">
        <v>1710</v>
      </c>
      <c r="L6" s="17"/>
      <c r="M6" s="13">
        <v>177</v>
      </c>
      <c r="N6" s="18"/>
      <c r="O6" s="7"/>
      <c r="P6" s="1"/>
      <c r="Q6" s="9">
        <v>200</v>
      </c>
      <c r="R6" s="7"/>
      <c r="S6" s="1"/>
      <c r="T6" s="9"/>
    </row>
    <row r="7" spans="1:20" x14ac:dyDescent="0.25">
      <c r="A7" s="1">
        <v>5</v>
      </c>
      <c r="B7" s="2" t="s">
        <v>4</v>
      </c>
      <c r="C7" s="7">
        <v>1000</v>
      </c>
      <c r="D7" s="1">
        <v>695</v>
      </c>
      <c r="E7" s="8">
        <v>0</v>
      </c>
      <c r="F7" s="7">
        <v>2000</v>
      </c>
      <c r="G7" s="1">
        <v>2059</v>
      </c>
      <c r="H7" s="9">
        <v>2244</v>
      </c>
      <c r="I7" s="7">
        <v>1500</v>
      </c>
      <c r="J7" s="1">
        <v>2776</v>
      </c>
      <c r="K7" s="9">
        <v>2235</v>
      </c>
      <c r="L7" s="17"/>
      <c r="M7" s="13">
        <v>520</v>
      </c>
      <c r="N7" s="18"/>
      <c r="O7" s="7"/>
      <c r="P7" s="1"/>
      <c r="Q7" s="9">
        <v>77</v>
      </c>
      <c r="R7" s="7"/>
      <c r="S7" s="1"/>
      <c r="T7" s="9"/>
    </row>
    <row r="8" spans="1:20" x14ac:dyDescent="0.25">
      <c r="A8" s="1">
        <v>6</v>
      </c>
      <c r="B8" s="2" t="s">
        <v>5</v>
      </c>
      <c r="C8" s="7">
        <v>1000</v>
      </c>
      <c r="D8" s="1">
        <v>121</v>
      </c>
      <c r="E8" s="8">
        <v>0</v>
      </c>
      <c r="F8" s="7">
        <v>1000</v>
      </c>
      <c r="G8" s="1">
        <v>1733</v>
      </c>
      <c r="H8" s="9">
        <v>1818</v>
      </c>
      <c r="I8" s="7">
        <v>500</v>
      </c>
      <c r="J8" s="1">
        <v>702</v>
      </c>
      <c r="K8" s="9">
        <v>334</v>
      </c>
      <c r="L8" s="17"/>
      <c r="M8" s="13">
        <v>962</v>
      </c>
      <c r="N8" s="18"/>
      <c r="O8" s="7"/>
      <c r="P8" s="1"/>
      <c r="Q8" s="9"/>
      <c r="R8" s="7"/>
      <c r="S8" s="1"/>
      <c r="T8" s="9">
        <v>777</v>
      </c>
    </row>
    <row r="9" spans="1:20" x14ac:dyDescent="0.25">
      <c r="A9" s="1">
        <v>7</v>
      </c>
      <c r="B9" s="2" t="s">
        <v>16</v>
      </c>
      <c r="C9" s="7"/>
      <c r="D9" s="1"/>
      <c r="E9" s="8"/>
      <c r="F9" s="7"/>
      <c r="G9" s="1"/>
      <c r="H9" s="9"/>
      <c r="I9" s="7"/>
      <c r="J9" s="1"/>
      <c r="K9" s="9"/>
      <c r="L9" s="17"/>
      <c r="M9" s="13"/>
      <c r="N9" s="18"/>
      <c r="O9" s="7"/>
      <c r="P9" s="1"/>
      <c r="Q9" s="9"/>
      <c r="R9" s="7"/>
      <c r="S9" s="1"/>
      <c r="T9" s="9"/>
    </row>
    <row r="10" spans="1:20" x14ac:dyDescent="0.25">
      <c r="A10" s="1">
        <v>8</v>
      </c>
      <c r="B10" s="2" t="s">
        <v>6</v>
      </c>
      <c r="C10" s="7">
        <v>0</v>
      </c>
      <c r="D10" s="1"/>
      <c r="E10" s="8">
        <v>0</v>
      </c>
      <c r="F10" s="7">
        <v>1000</v>
      </c>
      <c r="G10" s="1">
        <v>77</v>
      </c>
      <c r="H10" s="9">
        <v>50</v>
      </c>
      <c r="I10" s="7">
        <v>500</v>
      </c>
      <c r="J10" s="1">
        <v>992</v>
      </c>
      <c r="K10" s="9">
        <v>1015</v>
      </c>
      <c r="L10" s="17"/>
      <c r="M10" s="13">
        <v>360</v>
      </c>
      <c r="N10" s="18">
        <v>365</v>
      </c>
      <c r="O10" s="7"/>
      <c r="P10" s="1"/>
      <c r="Q10" s="9"/>
      <c r="R10" s="7"/>
      <c r="S10" s="1"/>
      <c r="T10" s="9"/>
    </row>
    <row r="11" spans="1:20" x14ac:dyDescent="0.25">
      <c r="A11" s="1">
        <v>9</v>
      </c>
      <c r="B11" s="2" t="s">
        <v>7</v>
      </c>
      <c r="C11" s="7">
        <v>0</v>
      </c>
      <c r="D11" s="1"/>
      <c r="E11" s="8">
        <v>0</v>
      </c>
      <c r="F11" s="7">
        <v>1000</v>
      </c>
      <c r="G11" s="1">
        <v>624</v>
      </c>
      <c r="H11" s="9">
        <v>611</v>
      </c>
      <c r="I11" s="7">
        <v>1000</v>
      </c>
      <c r="J11" s="1">
        <v>1751</v>
      </c>
      <c r="K11" s="9">
        <v>1389</v>
      </c>
      <c r="L11" s="17"/>
      <c r="M11" s="13">
        <v>539</v>
      </c>
      <c r="N11" s="18"/>
      <c r="O11" s="7"/>
      <c r="P11" s="1">
        <v>23</v>
      </c>
      <c r="Q11" s="9"/>
      <c r="R11" s="7"/>
      <c r="S11" s="1"/>
      <c r="T11" s="9"/>
    </row>
    <row r="12" spans="1:20" x14ac:dyDescent="0.25">
      <c r="A12" s="1">
        <v>10</v>
      </c>
      <c r="B12" s="2" t="s">
        <v>8</v>
      </c>
      <c r="C12" s="7">
        <v>0</v>
      </c>
      <c r="D12" s="1"/>
      <c r="E12" s="8">
        <v>0</v>
      </c>
      <c r="F12" s="7">
        <v>1000</v>
      </c>
      <c r="G12" s="1">
        <v>450</v>
      </c>
      <c r="H12" s="9">
        <v>330</v>
      </c>
      <c r="I12" s="7"/>
      <c r="J12" s="1">
        <v>917</v>
      </c>
      <c r="K12" s="9">
        <v>610</v>
      </c>
      <c r="L12" s="17"/>
      <c r="M12" s="13">
        <v>357</v>
      </c>
      <c r="N12" s="18">
        <v>60</v>
      </c>
      <c r="O12" s="7"/>
      <c r="P12" s="1"/>
      <c r="Q12" s="9"/>
      <c r="R12" s="7"/>
      <c r="S12" s="1"/>
      <c r="T12" s="9">
        <v>100</v>
      </c>
    </row>
    <row r="13" spans="1:20" x14ac:dyDescent="0.25">
      <c r="A13" s="1">
        <v>11</v>
      </c>
      <c r="B13" s="2" t="s">
        <v>9</v>
      </c>
      <c r="C13" s="7">
        <v>400</v>
      </c>
      <c r="D13" s="1">
        <v>273</v>
      </c>
      <c r="E13" s="9">
        <v>273</v>
      </c>
      <c r="F13" s="7"/>
      <c r="G13" s="1">
        <v>296</v>
      </c>
      <c r="H13" s="9">
        <v>480</v>
      </c>
      <c r="I13" s="7"/>
      <c r="J13" s="1">
        <v>0</v>
      </c>
      <c r="K13" s="9"/>
      <c r="L13" s="17"/>
      <c r="M13" s="13">
        <v>370</v>
      </c>
      <c r="N13" s="18"/>
      <c r="O13" s="7"/>
      <c r="P13" s="1"/>
      <c r="Q13" s="9"/>
      <c r="R13" s="7"/>
      <c r="S13" s="1"/>
      <c r="T13" s="9">
        <v>315</v>
      </c>
    </row>
    <row r="14" spans="1:20" ht="15.75" thickBot="1" x14ac:dyDescent="0.3">
      <c r="A14" s="1">
        <v>12</v>
      </c>
      <c r="B14" s="2" t="s">
        <v>10</v>
      </c>
      <c r="C14" s="10">
        <v>500</v>
      </c>
      <c r="D14" s="11">
        <v>189</v>
      </c>
      <c r="E14" s="12">
        <v>189</v>
      </c>
      <c r="F14" s="10"/>
      <c r="G14" s="11">
        <v>227</v>
      </c>
      <c r="H14" s="12">
        <v>500</v>
      </c>
      <c r="I14" s="10"/>
      <c r="J14" s="11">
        <v>400</v>
      </c>
      <c r="K14" s="12">
        <v>391</v>
      </c>
      <c r="L14" s="19"/>
      <c r="M14" s="20">
        <v>39</v>
      </c>
      <c r="N14" s="21"/>
      <c r="O14" s="10"/>
      <c r="P14" s="11"/>
      <c r="Q14" s="12"/>
      <c r="R14" s="10"/>
      <c r="S14" s="11"/>
      <c r="T14" s="12"/>
    </row>
    <row r="15" spans="1:20" x14ac:dyDescent="0.25">
      <c r="A15" s="28"/>
      <c r="B15" s="24" t="s">
        <v>34</v>
      </c>
      <c r="D15" s="28"/>
      <c r="E15" s="28"/>
      <c r="F15" s="28"/>
      <c r="G15" s="28"/>
      <c r="H15" s="28"/>
      <c r="I15" s="28"/>
      <c r="J15" s="28"/>
      <c r="K15" s="28"/>
      <c r="L15" s="30"/>
      <c r="M15" s="30"/>
      <c r="N15" s="30"/>
      <c r="O15" s="28"/>
      <c r="P15" s="28"/>
      <c r="Q15" s="28"/>
      <c r="R15" s="28"/>
      <c r="S15" s="28"/>
      <c r="T15" s="28"/>
    </row>
    <row r="16" spans="1:20" x14ac:dyDescent="0.25">
      <c r="A16" s="28"/>
      <c r="B16" s="25" t="s">
        <v>35</v>
      </c>
      <c r="C16" s="1">
        <v>1000</v>
      </c>
      <c r="D16" s="28"/>
      <c r="E16" s="28"/>
      <c r="F16" s="28"/>
      <c r="G16" s="28"/>
      <c r="H16" s="28"/>
      <c r="I16" s="28">
        <v>1000</v>
      </c>
      <c r="J16" s="28"/>
      <c r="K16" s="28"/>
      <c r="L16" s="30"/>
      <c r="M16" s="30"/>
      <c r="N16" s="30"/>
      <c r="O16" s="28"/>
      <c r="P16" s="28"/>
      <c r="Q16" s="28"/>
      <c r="R16" s="28"/>
      <c r="S16" s="28"/>
      <c r="T16" s="28"/>
    </row>
    <row r="17" spans="1:20" x14ac:dyDescent="0.25">
      <c r="A17" s="28"/>
      <c r="B17" s="25" t="s">
        <v>36</v>
      </c>
      <c r="C17" s="1">
        <v>500</v>
      </c>
      <c r="D17" s="28"/>
      <c r="E17" s="28"/>
      <c r="F17" s="28"/>
      <c r="G17" s="28"/>
      <c r="H17" s="28"/>
      <c r="I17" s="28"/>
      <c r="J17" s="28"/>
      <c r="K17" s="28"/>
      <c r="L17" s="30"/>
      <c r="M17" s="30"/>
      <c r="N17" s="30"/>
      <c r="O17" s="28"/>
      <c r="P17" s="28"/>
      <c r="Q17" s="28"/>
      <c r="R17" s="28"/>
      <c r="S17" s="28"/>
      <c r="T17" s="28"/>
    </row>
    <row r="18" spans="1:20" x14ac:dyDescent="0.25">
      <c r="A18" s="28"/>
      <c r="B18" s="25" t="s">
        <v>37</v>
      </c>
      <c r="C18" s="1">
        <v>500</v>
      </c>
      <c r="D18" s="28"/>
      <c r="E18" s="28"/>
      <c r="F18" s="28"/>
      <c r="G18" s="28"/>
      <c r="H18" s="28"/>
      <c r="I18" s="28"/>
      <c r="J18" s="28"/>
      <c r="K18" s="28"/>
      <c r="L18" s="30"/>
      <c r="M18" s="30"/>
      <c r="N18" s="30"/>
      <c r="O18" s="28"/>
      <c r="P18" s="28"/>
      <c r="Q18" s="28"/>
      <c r="R18" s="28"/>
      <c r="S18" s="28"/>
      <c r="T18" s="28"/>
    </row>
    <row r="19" spans="1:20" x14ac:dyDescent="0.25">
      <c r="A19" s="28"/>
      <c r="B19" s="25" t="s">
        <v>39</v>
      </c>
      <c r="C19" s="28"/>
      <c r="D19" s="28"/>
      <c r="E19" s="28"/>
      <c r="F19" s="28"/>
      <c r="G19" s="28"/>
      <c r="H19" s="28"/>
      <c r="I19" s="28">
        <v>100</v>
      </c>
      <c r="J19" s="28"/>
      <c r="K19" s="28"/>
      <c r="L19" s="30"/>
      <c r="M19" s="30"/>
      <c r="N19" s="30"/>
      <c r="O19" s="28"/>
      <c r="P19" s="28"/>
      <c r="Q19" s="28"/>
      <c r="R19" s="28"/>
      <c r="S19" s="28"/>
      <c r="T19" s="28"/>
    </row>
    <row r="20" spans="1:20" x14ac:dyDescent="0.25">
      <c r="A20" s="28"/>
      <c r="B20" s="25" t="s">
        <v>40</v>
      </c>
      <c r="C20" s="28"/>
      <c r="D20" s="28"/>
      <c r="E20" s="28"/>
      <c r="F20" s="28"/>
      <c r="G20" s="28"/>
      <c r="H20" s="28"/>
      <c r="I20" s="28">
        <v>100</v>
      </c>
      <c r="J20" s="28"/>
      <c r="K20" s="28"/>
      <c r="L20" s="30"/>
      <c r="M20" s="30"/>
      <c r="N20" s="30"/>
      <c r="O20" s="28"/>
      <c r="P20" s="28"/>
      <c r="Q20" s="28"/>
      <c r="R20" s="28"/>
      <c r="S20" s="28"/>
      <c r="T20" s="28"/>
    </row>
    <row r="21" spans="1:20" x14ac:dyDescent="0.25">
      <c r="A21" s="28"/>
      <c r="B21" s="3"/>
      <c r="C21" s="28"/>
      <c r="D21" s="28"/>
      <c r="E21" s="28"/>
      <c r="F21" s="28"/>
      <c r="G21" s="28"/>
      <c r="H21" s="28"/>
      <c r="I21" s="28"/>
      <c r="J21" s="28"/>
      <c r="K21" s="28"/>
      <c r="L21" s="30"/>
      <c r="M21" s="30"/>
      <c r="N21" s="30"/>
      <c r="O21" s="28"/>
      <c r="P21" s="28"/>
      <c r="Q21" s="28"/>
      <c r="R21" s="28"/>
      <c r="S21" s="28"/>
      <c r="T21" s="28"/>
    </row>
    <row r="22" spans="1:20" x14ac:dyDescent="0.25">
      <c r="A22" s="28"/>
      <c r="B22" s="3"/>
      <c r="C22" s="28"/>
      <c r="D22" s="28"/>
      <c r="E22" s="28"/>
      <c r="F22" s="28"/>
      <c r="G22" s="28"/>
      <c r="H22" s="28"/>
      <c r="I22" s="28"/>
      <c r="J22" s="28"/>
      <c r="K22" s="28"/>
      <c r="L22" s="30"/>
      <c r="M22" s="30"/>
      <c r="N22" s="30"/>
      <c r="O22" s="28"/>
      <c r="P22" s="28"/>
      <c r="Q22" s="28"/>
      <c r="R22" s="28"/>
      <c r="S22" s="28"/>
      <c r="T22" s="28"/>
    </row>
    <row r="23" spans="1:20" x14ac:dyDescent="0.25">
      <c r="A23" s="28"/>
      <c r="B23" s="3"/>
      <c r="C23" s="28"/>
      <c r="D23" s="28"/>
      <c r="E23" s="28"/>
      <c r="F23" s="28"/>
      <c r="G23" s="28"/>
      <c r="H23" s="28"/>
      <c r="I23" s="28"/>
      <c r="J23" s="28"/>
      <c r="K23" s="28"/>
      <c r="L23" s="30"/>
      <c r="M23" s="30"/>
      <c r="N23" s="30"/>
      <c r="O23" s="28"/>
      <c r="P23" s="28"/>
      <c r="Q23" s="28"/>
      <c r="R23" s="28"/>
      <c r="S23" s="28"/>
      <c r="T23" s="28"/>
    </row>
    <row r="24" spans="1:20" x14ac:dyDescent="0.25">
      <c r="A24" s="28"/>
      <c r="B24" s="3"/>
      <c r="C24" s="28"/>
      <c r="D24" s="28"/>
      <c r="E24" s="28"/>
      <c r="F24" s="28"/>
      <c r="G24" s="28"/>
      <c r="H24" s="28"/>
      <c r="I24" s="28"/>
      <c r="J24" s="28"/>
      <c r="K24" s="28"/>
      <c r="L24" s="30"/>
      <c r="M24" s="30"/>
      <c r="N24" s="30"/>
      <c r="O24" s="28"/>
      <c r="P24" s="28"/>
      <c r="Q24" s="28"/>
      <c r="R24" s="28"/>
      <c r="S24" s="28"/>
      <c r="T24" s="28"/>
    </row>
    <row r="25" spans="1:20" x14ac:dyDescent="0.25">
      <c r="A25" s="28"/>
      <c r="B25" s="29"/>
      <c r="C25" s="28"/>
      <c r="D25" s="28"/>
      <c r="E25" s="28"/>
      <c r="F25" s="28"/>
      <c r="G25" s="28"/>
      <c r="H25" s="28"/>
      <c r="I25" s="28"/>
      <c r="J25" s="28"/>
      <c r="K25" s="28"/>
      <c r="L25" s="30"/>
      <c r="M25" s="30"/>
      <c r="N25" s="30"/>
      <c r="O25" s="28"/>
      <c r="P25" s="28"/>
      <c r="Q25" s="28"/>
      <c r="R25" s="28"/>
      <c r="S25" s="28"/>
      <c r="T25" s="28"/>
    </row>
    <row r="26" spans="1:20" x14ac:dyDescent="0.25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30"/>
      <c r="M26" s="30"/>
      <c r="N26" s="30"/>
      <c r="O26" s="28"/>
      <c r="P26" s="28"/>
      <c r="Q26" s="28"/>
      <c r="R26" s="28"/>
      <c r="S26" s="28"/>
      <c r="T26" s="28"/>
    </row>
    <row r="27" spans="1:20" x14ac:dyDescent="0.25">
      <c r="A27" s="28"/>
      <c r="B27" s="29"/>
      <c r="C27" s="28"/>
      <c r="D27" s="28"/>
      <c r="E27" s="28"/>
      <c r="F27" s="28"/>
      <c r="G27" s="28"/>
      <c r="H27" s="28"/>
      <c r="I27" s="28"/>
      <c r="J27" s="28"/>
      <c r="K27" s="28"/>
      <c r="L27" s="30"/>
      <c r="M27" s="30"/>
      <c r="N27" s="30"/>
      <c r="O27" s="28"/>
      <c r="P27" s="28"/>
      <c r="Q27" s="28"/>
      <c r="R27" s="28"/>
      <c r="S27" s="28"/>
      <c r="T27" s="28"/>
    </row>
    <row r="28" spans="1:20" x14ac:dyDescent="0.25">
      <c r="A28" s="28"/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30"/>
      <c r="M28" s="30"/>
      <c r="N28" s="30"/>
      <c r="O28" s="28"/>
      <c r="P28" s="28"/>
      <c r="Q28" s="28"/>
      <c r="R28" s="28"/>
      <c r="S28" s="28"/>
      <c r="T28" s="28"/>
    </row>
    <row r="29" spans="1:20" x14ac:dyDescent="0.25">
      <c r="B29" s="3" t="s">
        <v>17</v>
      </c>
      <c r="C29">
        <f>SUM(C3:C14)</f>
        <v>10993</v>
      </c>
      <c r="D29">
        <f t="shared" ref="D29:T29" si="0">SUM(D3:D14)</f>
        <v>9350</v>
      </c>
      <c r="E29">
        <f t="shared" si="0"/>
        <v>4562</v>
      </c>
      <c r="F29">
        <f t="shared" si="0"/>
        <v>17000</v>
      </c>
      <c r="G29">
        <f t="shared" si="0"/>
        <v>19609</v>
      </c>
      <c r="H29">
        <f t="shared" si="0"/>
        <v>17295</v>
      </c>
      <c r="I29">
        <f t="shared" si="0"/>
        <v>5500</v>
      </c>
      <c r="J29">
        <f t="shared" si="0"/>
        <v>14942</v>
      </c>
      <c r="K29">
        <f t="shared" si="0"/>
        <v>8684</v>
      </c>
      <c r="L29">
        <f t="shared" si="0"/>
        <v>0</v>
      </c>
      <c r="M29">
        <f t="shared" si="0"/>
        <v>3324</v>
      </c>
      <c r="N29">
        <f t="shared" si="0"/>
        <v>425</v>
      </c>
      <c r="O29">
        <f t="shared" si="0"/>
        <v>2600</v>
      </c>
      <c r="P29">
        <f t="shared" si="0"/>
        <v>2832</v>
      </c>
      <c r="Q29">
        <f t="shared" si="0"/>
        <v>2821</v>
      </c>
      <c r="R29">
        <f t="shared" si="0"/>
        <v>7700</v>
      </c>
      <c r="S29">
        <f t="shared" si="0"/>
        <v>4781</v>
      </c>
      <c r="T29">
        <f t="shared" si="0"/>
        <v>9040</v>
      </c>
    </row>
    <row r="30" spans="1:20" x14ac:dyDescent="0.25">
      <c r="B30" s="3" t="s">
        <v>18</v>
      </c>
      <c r="D30" s="22">
        <f>D29/C29%</f>
        <v>85.054125352497039</v>
      </c>
      <c r="G30" s="22">
        <f>G29/F29%</f>
        <v>115.34705882352941</v>
      </c>
      <c r="J30" s="22">
        <f>J29/I29%</f>
        <v>271.67272727272729</v>
      </c>
      <c r="M30" s="22" t="e">
        <f>M29/L29%</f>
        <v>#DIV/0!</v>
      </c>
      <c r="P30" s="22">
        <f>P29/O29%</f>
        <v>108.92307692307692</v>
      </c>
      <c r="S30" s="22">
        <f>S29/R29%</f>
        <v>62.090909090909093</v>
      </c>
    </row>
    <row r="31" spans="1:20" x14ac:dyDescent="0.25">
      <c r="B31" s="3" t="s">
        <v>19</v>
      </c>
      <c r="E31" s="22">
        <f>E29/C29*100</f>
        <v>41.499135813699631</v>
      </c>
      <c r="H31" s="22">
        <f>H29/F29*100</f>
        <v>101.73529411764706</v>
      </c>
      <c r="K31" s="22">
        <f>K29/I29*100</f>
        <v>157.89090909090908</v>
      </c>
      <c r="N31" s="22" t="e">
        <f>N29/L29*100</f>
        <v>#DIV/0!</v>
      </c>
      <c r="Q31" s="22">
        <f>Q29/O29*100</f>
        <v>108.5</v>
      </c>
      <c r="T31" s="22">
        <f>T29/R29*100</f>
        <v>117.40259740259739</v>
      </c>
    </row>
    <row r="33" spans="2:4" ht="30" customHeight="1" x14ac:dyDescent="0.25">
      <c r="B33" s="34" t="s">
        <v>20</v>
      </c>
      <c r="C33" s="34"/>
      <c r="D33" s="23">
        <f>(D29+G29+J29+M29+P29+S29)/(C29+F29+I29+L29+O29+R29)%</f>
        <v>125.22092571872217</v>
      </c>
    </row>
    <row r="34" spans="2:4" ht="30" customHeight="1" x14ac:dyDescent="0.25">
      <c r="B34" s="34" t="s">
        <v>59</v>
      </c>
      <c r="C34" s="34"/>
      <c r="D34" s="23">
        <f>(E29+H29+K29+N29+Q29+T29)/(C29+F29+I29+L29+O29+R29)%</f>
        <v>97.794168017719727</v>
      </c>
    </row>
  </sheetData>
  <mergeCells count="8">
    <mergeCell ref="L1:N1"/>
    <mergeCell ref="O1:Q1"/>
    <mergeCell ref="R1:T1"/>
    <mergeCell ref="B33:C33"/>
    <mergeCell ref="B34:C34"/>
    <mergeCell ref="C1:E1"/>
    <mergeCell ref="F1:H1"/>
    <mergeCell ref="I1:K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I18" sqref="I18"/>
    </sheetView>
  </sheetViews>
  <sheetFormatPr defaultRowHeight="15" x14ac:dyDescent="0.25"/>
  <cols>
    <col min="1" max="1" width="9.85546875" bestFit="1" customWidth="1"/>
    <col min="2" max="2" width="28.85546875" bestFit="1" customWidth="1"/>
    <col min="3" max="3" width="9.7109375" bestFit="1" customWidth="1"/>
    <col min="4" max="4" width="8.85546875" bestFit="1" customWidth="1"/>
  </cols>
  <sheetData>
    <row r="1" spans="1:7" x14ac:dyDescent="0.25">
      <c r="A1" s="35" t="s">
        <v>21</v>
      </c>
      <c r="B1" s="35"/>
      <c r="C1" s="35"/>
      <c r="D1" s="35"/>
      <c r="E1" s="35"/>
      <c r="F1" s="35"/>
      <c r="G1" s="35"/>
    </row>
    <row r="2" spans="1:7" x14ac:dyDescent="0.25">
      <c r="A2" s="1" t="s">
        <v>60</v>
      </c>
      <c r="B2" s="1" t="s">
        <v>22</v>
      </c>
      <c r="C2" s="1" t="s">
        <v>13</v>
      </c>
      <c r="D2" s="1" t="s">
        <v>23</v>
      </c>
      <c r="E2" s="1" t="s">
        <v>24</v>
      </c>
      <c r="F2" s="1" t="s">
        <v>25</v>
      </c>
      <c r="G2" s="1" t="s">
        <v>26</v>
      </c>
    </row>
    <row r="3" spans="1:7" x14ac:dyDescent="0.25">
      <c r="A3" s="35" t="s">
        <v>33</v>
      </c>
      <c r="B3" s="1" t="s">
        <v>0</v>
      </c>
      <c r="C3" s="1">
        <v>7100</v>
      </c>
      <c r="D3" s="1">
        <v>2000</v>
      </c>
      <c r="E3" s="1">
        <v>2000</v>
      </c>
      <c r="F3" s="1">
        <v>2000</v>
      </c>
      <c r="G3" s="1">
        <v>1100</v>
      </c>
    </row>
    <row r="4" spans="1:7" x14ac:dyDescent="0.25">
      <c r="A4" s="35"/>
      <c r="B4" s="1" t="s">
        <v>3</v>
      </c>
      <c r="C4" s="1">
        <v>1000</v>
      </c>
      <c r="D4" s="1"/>
      <c r="E4" s="1">
        <v>500</v>
      </c>
      <c r="F4" s="1">
        <v>500</v>
      </c>
      <c r="G4" s="1"/>
    </row>
    <row r="5" spans="1:7" x14ac:dyDescent="0.25">
      <c r="A5" s="35"/>
      <c r="B5" s="1" t="s">
        <v>4</v>
      </c>
      <c r="C5" s="1">
        <v>1000</v>
      </c>
      <c r="D5" s="1">
        <v>500</v>
      </c>
      <c r="E5" s="1">
        <v>500</v>
      </c>
      <c r="F5" s="1"/>
      <c r="G5" s="1"/>
    </row>
    <row r="6" spans="1:7" x14ac:dyDescent="0.25">
      <c r="A6" s="35"/>
      <c r="B6" s="1" t="s">
        <v>5</v>
      </c>
      <c r="C6" s="1">
        <v>1000</v>
      </c>
      <c r="D6" s="1"/>
      <c r="E6" s="1"/>
      <c r="F6" s="1">
        <v>500</v>
      </c>
      <c r="G6" s="1">
        <v>500</v>
      </c>
    </row>
    <row r="7" spans="1:7" x14ac:dyDescent="0.25">
      <c r="A7" s="35"/>
      <c r="B7" s="1" t="s">
        <v>9</v>
      </c>
      <c r="C7" s="1">
        <v>400</v>
      </c>
      <c r="D7" s="1"/>
      <c r="E7" s="1"/>
      <c r="F7" s="1"/>
      <c r="G7" s="1">
        <v>400</v>
      </c>
    </row>
    <row r="8" spans="1:7" x14ac:dyDescent="0.25">
      <c r="A8" s="35"/>
      <c r="B8" s="1" t="s">
        <v>10</v>
      </c>
      <c r="C8" s="1">
        <v>500</v>
      </c>
      <c r="D8" s="1"/>
      <c r="E8" s="1"/>
      <c r="F8" s="1"/>
      <c r="G8" s="1">
        <v>500</v>
      </c>
    </row>
    <row r="9" spans="1:7" x14ac:dyDescent="0.25">
      <c r="A9" s="35" t="s">
        <v>34</v>
      </c>
      <c r="B9" s="25" t="s">
        <v>35</v>
      </c>
      <c r="C9" s="1">
        <v>1000</v>
      </c>
      <c r="D9" s="1"/>
      <c r="E9" s="1"/>
      <c r="F9" s="1"/>
      <c r="G9" s="1">
        <v>1000</v>
      </c>
    </row>
    <row r="10" spans="1:7" x14ac:dyDescent="0.25">
      <c r="A10" s="35"/>
      <c r="B10" s="25" t="s">
        <v>36</v>
      </c>
      <c r="C10" s="1">
        <v>500</v>
      </c>
      <c r="D10" s="1"/>
      <c r="E10" s="1"/>
      <c r="F10" s="1"/>
      <c r="G10" s="1">
        <v>500</v>
      </c>
    </row>
    <row r="11" spans="1:7" x14ac:dyDescent="0.25">
      <c r="A11" s="35"/>
      <c r="B11" s="25" t="s">
        <v>37</v>
      </c>
      <c r="C11" s="1">
        <v>500</v>
      </c>
      <c r="D11" s="1"/>
      <c r="E11" s="1"/>
      <c r="F11" s="1"/>
      <c r="G11" s="1">
        <v>500</v>
      </c>
    </row>
  </sheetData>
  <mergeCells count="3">
    <mergeCell ref="A3:A8"/>
    <mergeCell ref="A9:A11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25" sqref="A25"/>
    </sheetView>
  </sheetViews>
  <sheetFormatPr defaultRowHeight="15" x14ac:dyDescent="0.25"/>
  <cols>
    <col min="1" max="1" width="24" bestFit="1" customWidth="1"/>
  </cols>
  <sheetData>
    <row r="1" spans="1:6" x14ac:dyDescent="0.25">
      <c r="A1" t="s">
        <v>27</v>
      </c>
    </row>
    <row r="2" spans="1:6" x14ac:dyDescent="0.25">
      <c r="A2" s="1" t="s">
        <v>22</v>
      </c>
      <c r="B2" s="1" t="s">
        <v>13</v>
      </c>
      <c r="C2" s="1" t="s">
        <v>23</v>
      </c>
      <c r="D2" s="1" t="s">
        <v>24</v>
      </c>
      <c r="E2" s="1" t="s">
        <v>25</v>
      </c>
      <c r="F2" s="1" t="s">
        <v>26</v>
      </c>
    </row>
    <row r="3" spans="1:6" x14ac:dyDescent="0.25">
      <c r="A3" s="1" t="s">
        <v>0</v>
      </c>
      <c r="B3" s="1">
        <v>10000</v>
      </c>
      <c r="C3" s="1">
        <v>3000</v>
      </c>
      <c r="D3" s="1">
        <v>3000</v>
      </c>
      <c r="E3" s="1">
        <v>3000</v>
      </c>
      <c r="F3" s="1">
        <v>1000</v>
      </c>
    </row>
    <row r="4" spans="1:6" x14ac:dyDescent="0.25">
      <c r="A4" s="1" t="s">
        <v>3</v>
      </c>
      <c r="B4" s="1">
        <v>1000</v>
      </c>
      <c r="C4" s="1">
        <v>1000</v>
      </c>
      <c r="D4" s="1"/>
      <c r="E4" s="1"/>
      <c r="F4" s="1"/>
    </row>
    <row r="5" spans="1:6" x14ac:dyDescent="0.25">
      <c r="A5" s="1" t="s">
        <v>4</v>
      </c>
      <c r="B5" s="1">
        <v>2000</v>
      </c>
      <c r="C5" s="1"/>
      <c r="D5" s="1">
        <v>1000</v>
      </c>
      <c r="E5" s="1">
        <v>1000</v>
      </c>
      <c r="F5" s="1"/>
    </row>
    <row r="6" spans="1:6" x14ac:dyDescent="0.25">
      <c r="A6" s="1" t="s">
        <v>5</v>
      </c>
      <c r="B6" s="1">
        <v>1000</v>
      </c>
      <c r="C6" s="1"/>
      <c r="D6" s="1"/>
      <c r="E6" s="1"/>
      <c r="F6" s="1">
        <v>1000</v>
      </c>
    </row>
    <row r="7" spans="1:6" x14ac:dyDescent="0.25">
      <c r="A7" s="2" t="s">
        <v>6</v>
      </c>
      <c r="B7" s="1">
        <v>1000</v>
      </c>
      <c r="C7" s="1"/>
      <c r="D7" s="1"/>
      <c r="E7" s="1"/>
      <c r="F7" s="1">
        <v>1000</v>
      </c>
    </row>
    <row r="8" spans="1:6" x14ac:dyDescent="0.25">
      <c r="A8" s="2" t="s">
        <v>7</v>
      </c>
      <c r="B8" s="1">
        <v>1000</v>
      </c>
      <c r="C8" s="1"/>
      <c r="D8" s="1">
        <v>1000</v>
      </c>
      <c r="E8" s="1"/>
      <c r="F8" s="1"/>
    </row>
    <row r="9" spans="1:6" x14ac:dyDescent="0.25">
      <c r="A9" s="2" t="s">
        <v>8</v>
      </c>
      <c r="B9" s="1">
        <v>1000</v>
      </c>
      <c r="C9" s="1"/>
      <c r="D9" s="1"/>
      <c r="E9" s="1">
        <v>1000</v>
      </c>
      <c r="F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15" sqref="A15:A16"/>
    </sheetView>
  </sheetViews>
  <sheetFormatPr defaultRowHeight="15" x14ac:dyDescent="0.25"/>
  <cols>
    <col min="1" max="1" width="24" bestFit="1" customWidth="1"/>
    <col min="2" max="2" width="9.7109375" bestFit="1" customWidth="1"/>
  </cols>
  <sheetData>
    <row r="1" spans="1:6" x14ac:dyDescent="0.25">
      <c r="A1" t="s">
        <v>28</v>
      </c>
    </row>
    <row r="2" spans="1:6" x14ac:dyDescent="0.25">
      <c r="A2" s="1" t="s">
        <v>22</v>
      </c>
      <c r="B2" s="1" t="s">
        <v>13</v>
      </c>
      <c r="C2" s="1" t="s">
        <v>23</v>
      </c>
      <c r="D2" s="1" t="s">
        <v>24</v>
      </c>
      <c r="E2" s="1" t="s">
        <v>25</v>
      </c>
      <c r="F2" s="1" t="s">
        <v>26</v>
      </c>
    </row>
    <row r="3" spans="1:6" x14ac:dyDescent="0.25">
      <c r="A3" s="1" t="s">
        <v>0</v>
      </c>
      <c r="B3" s="1">
        <v>5000</v>
      </c>
      <c r="C3" s="1">
        <v>2000</v>
      </c>
      <c r="D3" s="1">
        <v>2000</v>
      </c>
      <c r="E3" s="1">
        <v>1000</v>
      </c>
      <c r="F3" s="1"/>
    </row>
    <row r="4" spans="1:6" x14ac:dyDescent="0.25">
      <c r="A4" s="1" t="s">
        <v>1</v>
      </c>
      <c r="B4" s="1">
        <v>1500</v>
      </c>
      <c r="C4" s="1"/>
      <c r="D4" s="1"/>
      <c r="E4" s="1">
        <v>500</v>
      </c>
      <c r="F4" s="1">
        <v>1000</v>
      </c>
    </row>
    <row r="5" spans="1:6" x14ac:dyDescent="0.25">
      <c r="A5" s="1" t="s">
        <v>3</v>
      </c>
      <c r="B5" s="1">
        <v>1500</v>
      </c>
      <c r="C5" s="1">
        <v>1500</v>
      </c>
      <c r="D5" s="1"/>
      <c r="E5" s="1"/>
      <c r="F5" s="1"/>
    </row>
    <row r="6" spans="1:6" x14ac:dyDescent="0.25">
      <c r="A6" s="1" t="s">
        <v>4</v>
      </c>
      <c r="B6" s="1">
        <v>3000</v>
      </c>
      <c r="C6" s="1">
        <v>500</v>
      </c>
      <c r="D6" s="1">
        <v>2000</v>
      </c>
      <c r="E6" s="1">
        <v>500</v>
      </c>
      <c r="F6" s="1"/>
    </row>
    <row r="7" spans="1:6" x14ac:dyDescent="0.25">
      <c r="A7" s="1" t="s">
        <v>5</v>
      </c>
      <c r="B7" s="1">
        <v>1000</v>
      </c>
      <c r="C7" s="1"/>
      <c r="D7" s="1"/>
      <c r="E7" s="1">
        <v>1000</v>
      </c>
      <c r="F7" s="1"/>
    </row>
    <row r="8" spans="1:6" x14ac:dyDescent="0.25">
      <c r="A8" s="2" t="s">
        <v>6</v>
      </c>
      <c r="B8" s="1">
        <v>1000</v>
      </c>
      <c r="C8" s="1">
        <v>1000</v>
      </c>
      <c r="D8" s="1"/>
      <c r="E8" s="1"/>
      <c r="F8" s="1"/>
    </row>
    <row r="9" spans="1:6" x14ac:dyDescent="0.25">
      <c r="A9" s="2" t="s">
        <v>7</v>
      </c>
      <c r="B9" s="1">
        <v>2000</v>
      </c>
      <c r="C9" s="1"/>
      <c r="D9" s="1">
        <v>1000</v>
      </c>
      <c r="E9" s="1">
        <v>1000</v>
      </c>
      <c r="F9" s="1"/>
    </row>
    <row r="10" spans="1:6" x14ac:dyDescent="0.25">
      <c r="A10" s="2" t="s">
        <v>8</v>
      </c>
      <c r="B10" s="1">
        <v>1000</v>
      </c>
      <c r="C10" s="1"/>
      <c r="D10" s="1"/>
      <c r="E10" s="1"/>
      <c r="F10" s="1">
        <v>1000</v>
      </c>
    </row>
    <row r="11" spans="1:6" x14ac:dyDescent="0.25">
      <c r="A11" s="1" t="s">
        <v>9</v>
      </c>
      <c r="B11" s="1"/>
      <c r="C11" s="1"/>
      <c r="D11" s="1"/>
      <c r="E11" s="1"/>
      <c r="F11" s="1"/>
    </row>
    <row r="12" spans="1:6" x14ac:dyDescent="0.25">
      <c r="A12" s="1" t="s">
        <v>10</v>
      </c>
      <c r="B12" s="1">
        <v>400</v>
      </c>
      <c r="C12" s="1"/>
      <c r="D12" s="1"/>
      <c r="E12" s="1"/>
      <c r="F12" s="1">
        <v>400</v>
      </c>
    </row>
    <row r="13" spans="1:6" x14ac:dyDescent="0.25">
      <c r="A13" s="24" t="s">
        <v>34</v>
      </c>
    </row>
    <row r="14" spans="1:6" x14ac:dyDescent="0.25">
      <c r="A14" s="25" t="s">
        <v>35</v>
      </c>
      <c r="B14" s="1">
        <v>1000</v>
      </c>
      <c r="C14" s="1"/>
      <c r="D14" s="1"/>
      <c r="E14" s="1"/>
      <c r="F14" s="1">
        <v>1000</v>
      </c>
    </row>
    <row r="15" spans="1:6" x14ac:dyDescent="0.25">
      <c r="A15" s="25" t="s">
        <v>39</v>
      </c>
      <c r="B15" s="1">
        <v>100</v>
      </c>
      <c r="C15" s="1"/>
      <c r="D15" s="1"/>
      <c r="E15" s="1"/>
      <c r="F15" s="1">
        <v>500</v>
      </c>
    </row>
    <row r="16" spans="1:6" x14ac:dyDescent="0.25">
      <c r="A16" s="25" t="s">
        <v>40</v>
      </c>
      <c r="B16" s="1">
        <v>100</v>
      </c>
      <c r="C16" s="1"/>
      <c r="D16" s="1"/>
      <c r="E16" s="1"/>
      <c r="F16" s="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4" workbookViewId="0">
      <selection activeCell="A13" sqref="A13"/>
    </sheetView>
  </sheetViews>
  <sheetFormatPr defaultRowHeight="15" x14ac:dyDescent="0.25"/>
  <cols>
    <col min="1" max="1" width="24" bestFit="1" customWidth="1"/>
    <col min="2" max="2" width="9.7109375" bestFit="1" customWidth="1"/>
  </cols>
  <sheetData>
    <row r="1" spans="1:6" x14ac:dyDescent="0.25">
      <c r="A1" t="s">
        <v>29</v>
      </c>
    </row>
    <row r="2" spans="1:6" x14ac:dyDescent="0.25">
      <c r="A2" s="1" t="s">
        <v>22</v>
      </c>
      <c r="B2" s="1" t="s">
        <v>13</v>
      </c>
      <c r="C2" s="1" t="s">
        <v>23</v>
      </c>
      <c r="D2" s="1" t="s">
        <v>24</v>
      </c>
      <c r="E2" s="1" t="s">
        <v>25</v>
      </c>
      <c r="F2" s="1" t="s">
        <v>26</v>
      </c>
    </row>
    <row r="3" spans="1:6" x14ac:dyDescent="0.25">
      <c r="A3" s="1" t="s">
        <v>33</v>
      </c>
      <c r="B3" s="1"/>
      <c r="C3" s="1"/>
      <c r="D3" s="1"/>
      <c r="E3" s="1"/>
      <c r="F3" s="1"/>
    </row>
    <row r="4" spans="1:6" x14ac:dyDescent="0.25">
      <c r="A4" s="1" t="s">
        <v>4</v>
      </c>
      <c r="B4" s="1">
        <v>500</v>
      </c>
      <c r="C4" s="1">
        <v>500</v>
      </c>
      <c r="D4" s="1"/>
      <c r="E4" s="1"/>
      <c r="F4" s="1"/>
    </row>
    <row r="5" spans="1:6" x14ac:dyDescent="0.25">
      <c r="A5" s="1" t="s">
        <v>5</v>
      </c>
      <c r="B5" s="1">
        <v>1000</v>
      </c>
      <c r="C5" s="1">
        <v>1000</v>
      </c>
      <c r="D5" s="1"/>
      <c r="E5" s="1"/>
      <c r="F5" s="1"/>
    </row>
    <row r="6" spans="1:6" x14ac:dyDescent="0.25">
      <c r="A6" s="2" t="s">
        <v>6</v>
      </c>
      <c r="B6" s="1">
        <v>500</v>
      </c>
      <c r="C6" s="1">
        <v>500</v>
      </c>
      <c r="D6" s="1"/>
      <c r="E6" s="1"/>
      <c r="F6" s="1"/>
    </row>
    <row r="7" spans="1:6" x14ac:dyDescent="0.25">
      <c r="A7" s="2" t="s">
        <v>7</v>
      </c>
      <c r="B7" s="1">
        <v>500</v>
      </c>
      <c r="C7" s="1">
        <v>500</v>
      </c>
      <c r="D7" s="1"/>
      <c r="E7" s="1"/>
      <c r="F7" s="1"/>
    </row>
    <row r="8" spans="1:6" x14ac:dyDescent="0.25">
      <c r="A8" s="2" t="s">
        <v>8</v>
      </c>
      <c r="B8" s="1">
        <v>500</v>
      </c>
      <c r="C8" s="1">
        <v>500</v>
      </c>
      <c r="D8" s="1"/>
      <c r="E8" s="1"/>
      <c r="F8" s="1"/>
    </row>
    <row r="9" spans="1:6" x14ac:dyDescent="0.25">
      <c r="A9" s="1" t="s">
        <v>9</v>
      </c>
      <c r="B9" s="1">
        <v>400</v>
      </c>
      <c r="C9" s="1">
        <v>400</v>
      </c>
      <c r="D9" s="1"/>
      <c r="E9" s="1"/>
      <c r="F9" s="1"/>
    </row>
    <row r="10" spans="1:6" x14ac:dyDescent="0.25">
      <c r="A10" s="24" t="s">
        <v>34</v>
      </c>
    </row>
    <row r="11" spans="1:6" x14ac:dyDescent="0.25">
      <c r="A11" s="25" t="s">
        <v>41</v>
      </c>
      <c r="B11" s="1">
        <v>300</v>
      </c>
      <c r="C11" s="1">
        <v>300</v>
      </c>
      <c r="D11" s="1"/>
      <c r="E11" s="1"/>
      <c r="F11" s="1"/>
    </row>
    <row r="12" spans="1:6" x14ac:dyDescent="0.25">
      <c r="A12" s="25" t="s">
        <v>39</v>
      </c>
      <c r="B12" s="1">
        <v>100</v>
      </c>
      <c r="C12" s="1"/>
      <c r="D12" s="1">
        <v>100</v>
      </c>
      <c r="E12" s="1"/>
      <c r="F12" s="1"/>
    </row>
    <row r="13" spans="1:6" x14ac:dyDescent="0.25">
      <c r="A13" s="25" t="s">
        <v>40</v>
      </c>
      <c r="B13" s="1">
        <v>100</v>
      </c>
      <c r="C13" s="1"/>
      <c r="D13" s="1">
        <v>100</v>
      </c>
      <c r="E13" s="1"/>
      <c r="F13" s="1"/>
    </row>
    <row r="14" spans="1:6" ht="15.75" x14ac:dyDescent="0.25">
      <c r="A14" s="26" t="s">
        <v>42</v>
      </c>
      <c r="B14" s="25">
        <v>60</v>
      </c>
      <c r="C14" s="1">
        <v>60</v>
      </c>
      <c r="D14" s="1"/>
      <c r="E14" s="1"/>
      <c r="F14" s="1"/>
    </row>
    <row r="15" spans="1:6" ht="15.75" x14ac:dyDescent="0.25">
      <c r="A15" s="26" t="s">
        <v>43</v>
      </c>
      <c r="B15" s="25">
        <v>60</v>
      </c>
      <c r="C15" s="1">
        <v>60</v>
      </c>
      <c r="D15" s="1"/>
      <c r="E15" s="1"/>
      <c r="F15" s="1"/>
    </row>
    <row r="16" spans="1:6" ht="15.75" x14ac:dyDescent="0.25">
      <c r="A16" s="26" t="s">
        <v>44</v>
      </c>
      <c r="B16" s="25">
        <v>60</v>
      </c>
      <c r="C16" s="1">
        <v>60</v>
      </c>
      <c r="D16" s="1"/>
      <c r="E16" s="1"/>
      <c r="F16" s="1"/>
    </row>
    <row r="17" spans="1:6" ht="15.75" x14ac:dyDescent="0.25">
      <c r="A17" s="27" t="s">
        <v>48</v>
      </c>
    </row>
    <row r="18" spans="1:6" ht="15.75" x14ac:dyDescent="0.25">
      <c r="A18" s="26" t="s">
        <v>45</v>
      </c>
      <c r="B18" s="1">
        <v>2000</v>
      </c>
      <c r="C18" s="1"/>
      <c r="D18" s="1">
        <v>500</v>
      </c>
      <c r="E18" s="1">
        <v>1000</v>
      </c>
      <c r="F18" s="1">
        <v>500</v>
      </c>
    </row>
    <row r="19" spans="1:6" ht="15.75" x14ac:dyDescent="0.25">
      <c r="A19" s="26" t="s">
        <v>46</v>
      </c>
      <c r="B19" s="1">
        <v>3500</v>
      </c>
      <c r="C19" s="1">
        <v>2000</v>
      </c>
      <c r="D19" s="1"/>
      <c r="E19" s="1"/>
      <c r="F19" s="1">
        <v>1500</v>
      </c>
    </row>
    <row r="20" spans="1:6" ht="15.75" x14ac:dyDescent="0.25">
      <c r="A20" s="26" t="s">
        <v>47</v>
      </c>
      <c r="B20" s="1">
        <v>2500</v>
      </c>
      <c r="C20" s="1"/>
      <c r="D20" s="1">
        <v>1500</v>
      </c>
      <c r="E20" s="1">
        <v>1000</v>
      </c>
      <c r="F20" s="1"/>
    </row>
    <row r="21" spans="1:6" ht="15.75" x14ac:dyDescent="0.25">
      <c r="A21" s="27" t="s">
        <v>52</v>
      </c>
    </row>
    <row r="22" spans="1:6" ht="15.75" x14ac:dyDescent="0.25">
      <c r="A22" s="26" t="s">
        <v>49</v>
      </c>
      <c r="B22" s="1">
        <v>100</v>
      </c>
      <c r="C22" s="1"/>
      <c r="D22" s="1">
        <v>100</v>
      </c>
      <c r="E22" s="1"/>
      <c r="F22" s="1"/>
    </row>
    <row r="23" spans="1:6" ht="15.75" x14ac:dyDescent="0.25">
      <c r="A23" s="26" t="s">
        <v>50</v>
      </c>
      <c r="B23" s="1">
        <v>100</v>
      </c>
      <c r="C23" s="1"/>
      <c r="D23" s="1">
        <v>100</v>
      </c>
      <c r="E23" s="1"/>
      <c r="F23" s="1"/>
    </row>
    <row r="24" spans="1:6" ht="15.75" x14ac:dyDescent="0.25">
      <c r="A24" s="26" t="s">
        <v>51</v>
      </c>
      <c r="B24" s="1">
        <v>100</v>
      </c>
      <c r="C24" s="1"/>
      <c r="D24" s="1">
        <v>100</v>
      </c>
      <c r="E24" s="1"/>
      <c r="F24" s="1"/>
    </row>
    <row r="25" spans="1:6" ht="15.75" x14ac:dyDescent="0.25">
      <c r="A25" s="27" t="s">
        <v>17</v>
      </c>
      <c r="B25">
        <f>SUM(B4:B24)</f>
        <v>12380</v>
      </c>
      <c r="C25">
        <f t="shared" ref="C25:F25" si="0">SUM(C4:C24)</f>
        <v>5880</v>
      </c>
      <c r="D25">
        <f t="shared" si="0"/>
        <v>2500</v>
      </c>
      <c r="E25">
        <f t="shared" si="0"/>
        <v>2000</v>
      </c>
      <c r="F25">
        <f t="shared" si="0"/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="96" zoomScaleNormal="96" workbookViewId="0">
      <selection activeCell="G23" sqref="G23"/>
    </sheetView>
  </sheetViews>
  <sheetFormatPr defaultRowHeight="15" x14ac:dyDescent="0.25"/>
  <cols>
    <col min="1" max="1" width="24.5703125" bestFit="1" customWidth="1"/>
    <col min="2" max="2" width="9.7109375" bestFit="1" customWidth="1"/>
  </cols>
  <sheetData>
    <row r="1" spans="1:6" x14ac:dyDescent="0.25">
      <c r="A1" t="s">
        <v>31</v>
      </c>
    </row>
    <row r="2" spans="1:6" x14ac:dyDescent="0.25">
      <c r="A2" s="1" t="s">
        <v>22</v>
      </c>
      <c r="B2" s="1" t="s">
        <v>13</v>
      </c>
      <c r="C2" s="1" t="s">
        <v>23</v>
      </c>
      <c r="D2" s="1" t="s">
        <v>24</v>
      </c>
      <c r="E2" s="1" t="s">
        <v>25</v>
      </c>
      <c r="F2" s="1" t="s">
        <v>26</v>
      </c>
    </row>
    <row r="3" spans="1:6" x14ac:dyDescent="0.25">
      <c r="A3" s="2" t="s">
        <v>2</v>
      </c>
      <c r="B3" s="1">
        <v>2000</v>
      </c>
      <c r="C3" s="1">
        <v>500</v>
      </c>
      <c r="D3" s="1">
        <v>500</v>
      </c>
      <c r="E3" s="1">
        <v>500</v>
      </c>
      <c r="F3" s="1">
        <v>500</v>
      </c>
    </row>
    <row r="4" spans="1:6" x14ac:dyDescent="0.25">
      <c r="A4" s="1" t="s">
        <v>3</v>
      </c>
      <c r="B4" s="1"/>
      <c r="C4" s="1"/>
      <c r="D4" s="1"/>
      <c r="E4" s="1"/>
      <c r="F4" s="1"/>
    </row>
    <row r="5" spans="1:6" x14ac:dyDescent="0.25">
      <c r="A5" s="24" t="s">
        <v>34</v>
      </c>
    </row>
    <row r="6" spans="1:6" x14ac:dyDescent="0.25">
      <c r="A6" s="25" t="s">
        <v>53</v>
      </c>
      <c r="B6" s="1">
        <v>200</v>
      </c>
      <c r="C6" s="1">
        <v>200</v>
      </c>
      <c r="D6" s="1"/>
      <c r="E6" s="1"/>
      <c r="F6" s="1"/>
    </row>
    <row r="7" spans="1:6" x14ac:dyDescent="0.25">
      <c r="A7" s="25" t="s">
        <v>39</v>
      </c>
      <c r="B7" s="1">
        <v>100</v>
      </c>
      <c r="C7" s="1"/>
      <c r="D7" s="1">
        <v>100</v>
      </c>
      <c r="E7" s="1"/>
      <c r="F7" s="1"/>
    </row>
    <row r="8" spans="1:6" ht="15.75" x14ac:dyDescent="0.25">
      <c r="A8" s="26" t="s">
        <v>42</v>
      </c>
      <c r="B8" s="25">
        <v>300</v>
      </c>
      <c r="C8" s="1">
        <v>300</v>
      </c>
      <c r="D8" s="1"/>
      <c r="E8" s="1"/>
      <c r="F8" s="1"/>
    </row>
    <row r="9" spans="1:6" ht="15.75" x14ac:dyDescent="0.25">
      <c r="A9" s="26" t="s">
        <v>43</v>
      </c>
      <c r="B9" s="25">
        <v>300</v>
      </c>
      <c r="C9" s="1">
        <v>300</v>
      </c>
      <c r="D9" s="1"/>
      <c r="E9" s="1"/>
      <c r="F9" s="1"/>
    </row>
    <row r="10" spans="1:6" ht="15.75" x14ac:dyDescent="0.25">
      <c r="A10" s="26" t="s">
        <v>44</v>
      </c>
      <c r="B10" s="25">
        <v>100</v>
      </c>
      <c r="C10" s="1">
        <v>100</v>
      </c>
      <c r="D10" s="1"/>
      <c r="E10" s="1"/>
      <c r="F10" s="1"/>
    </row>
    <row r="11" spans="1:6" ht="15.75" x14ac:dyDescent="0.25">
      <c r="A11" s="27" t="s">
        <v>48</v>
      </c>
    </row>
    <row r="12" spans="1:6" ht="15.75" x14ac:dyDescent="0.25">
      <c r="A12" s="26" t="s">
        <v>45</v>
      </c>
      <c r="B12" s="1">
        <v>2000</v>
      </c>
      <c r="C12" s="1"/>
      <c r="D12" s="1"/>
      <c r="E12" s="1">
        <v>1500</v>
      </c>
      <c r="F12" s="1">
        <v>500</v>
      </c>
    </row>
    <row r="13" spans="1:6" ht="15.75" x14ac:dyDescent="0.25">
      <c r="A13" s="26" t="s">
        <v>46</v>
      </c>
      <c r="B13" s="1">
        <v>4000</v>
      </c>
      <c r="C13" s="1">
        <v>2000</v>
      </c>
      <c r="D13" s="1">
        <v>1000</v>
      </c>
      <c r="E13" s="1"/>
      <c r="F13" s="1">
        <v>1000</v>
      </c>
    </row>
    <row r="14" spans="1:6" ht="15.75" x14ac:dyDescent="0.25">
      <c r="A14" s="26" t="s">
        <v>47</v>
      </c>
      <c r="B14" s="1">
        <v>2500</v>
      </c>
      <c r="C14" s="1"/>
      <c r="D14" s="1">
        <v>1000</v>
      </c>
      <c r="E14" s="1">
        <v>1000</v>
      </c>
      <c r="F14" s="1">
        <v>500</v>
      </c>
    </row>
    <row r="15" spans="1:6" ht="15.75" x14ac:dyDescent="0.25">
      <c r="A15" s="27" t="s">
        <v>52</v>
      </c>
    </row>
    <row r="16" spans="1:6" ht="15.75" x14ac:dyDescent="0.25">
      <c r="A16" s="26" t="s">
        <v>49</v>
      </c>
      <c r="B16" s="1">
        <v>100</v>
      </c>
      <c r="C16" s="1"/>
      <c r="D16" s="1">
        <v>100</v>
      </c>
      <c r="E16" s="1"/>
      <c r="F16" s="1">
        <v>200</v>
      </c>
    </row>
    <row r="17" spans="1:6" ht="15.75" x14ac:dyDescent="0.25">
      <c r="A17" s="26" t="s">
        <v>50</v>
      </c>
      <c r="B17" s="1">
        <v>300</v>
      </c>
      <c r="C17" s="1"/>
      <c r="D17" s="1">
        <v>100</v>
      </c>
      <c r="E17" s="1"/>
      <c r="F17" s="1">
        <v>200</v>
      </c>
    </row>
    <row r="18" spans="1:6" ht="15.75" x14ac:dyDescent="0.25">
      <c r="A18" s="26" t="s">
        <v>51</v>
      </c>
      <c r="B18" s="1">
        <v>300</v>
      </c>
      <c r="C18" s="1"/>
      <c r="D18" s="1"/>
      <c r="E18" s="1"/>
      <c r="F18" s="1"/>
    </row>
    <row r="19" spans="1:6" ht="15.75" x14ac:dyDescent="0.25">
      <c r="A19" s="26" t="s">
        <v>54</v>
      </c>
      <c r="B19" s="1">
        <v>100</v>
      </c>
      <c r="C19" s="1"/>
      <c r="D19" s="1"/>
      <c r="E19" s="1"/>
      <c r="F19" s="1">
        <v>100</v>
      </c>
    </row>
    <row r="20" spans="1:6" ht="15.75" x14ac:dyDescent="0.25">
      <c r="A20" s="27" t="s">
        <v>17</v>
      </c>
      <c r="B20">
        <f>SUM(B3:B19)</f>
        <v>12300</v>
      </c>
      <c r="C20">
        <f t="shared" ref="C20:F20" si="0">SUM(C3:C18)</f>
        <v>3400</v>
      </c>
      <c r="D20">
        <f t="shared" si="0"/>
        <v>2800</v>
      </c>
      <c r="E20">
        <f t="shared" si="0"/>
        <v>3000</v>
      </c>
      <c r="F20">
        <f t="shared" si="0"/>
        <v>2900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96" zoomScaleNormal="96" workbookViewId="0">
      <selection activeCell="J15" sqref="I15:J15"/>
    </sheetView>
  </sheetViews>
  <sheetFormatPr defaultRowHeight="15" x14ac:dyDescent="0.25"/>
  <cols>
    <col min="1" max="1" width="24.5703125" bestFit="1" customWidth="1"/>
  </cols>
  <sheetData>
    <row r="1" spans="1:6" x14ac:dyDescent="0.25">
      <c r="A1" t="s">
        <v>30</v>
      </c>
    </row>
    <row r="2" spans="1:6" x14ac:dyDescent="0.25">
      <c r="A2" s="1" t="s">
        <v>22</v>
      </c>
      <c r="B2" s="1" t="s">
        <v>13</v>
      </c>
      <c r="C2" s="1" t="s">
        <v>23</v>
      </c>
      <c r="D2" s="1" t="s">
        <v>24</v>
      </c>
      <c r="E2" s="1" t="s">
        <v>25</v>
      </c>
      <c r="F2" s="1" t="s">
        <v>26</v>
      </c>
    </row>
    <row r="3" spans="1:6" x14ac:dyDescent="0.25">
      <c r="A3" s="1" t="s">
        <v>1</v>
      </c>
      <c r="B3" s="1">
        <v>1700</v>
      </c>
      <c r="C3" s="1"/>
      <c r="D3" s="1">
        <v>500</v>
      </c>
      <c r="E3" s="1">
        <v>1000</v>
      </c>
      <c r="F3" s="1">
        <v>200</v>
      </c>
    </row>
    <row r="4" spans="1:6" x14ac:dyDescent="0.25">
      <c r="A4" s="2" t="s">
        <v>2</v>
      </c>
      <c r="B4" s="1">
        <v>3000</v>
      </c>
      <c r="C4" s="1">
        <v>1000</v>
      </c>
      <c r="D4" s="1">
        <v>1000</v>
      </c>
      <c r="E4" s="1">
        <v>500</v>
      </c>
      <c r="F4" s="1">
        <v>500</v>
      </c>
    </row>
    <row r="5" spans="1:6" x14ac:dyDescent="0.25">
      <c r="A5" s="24" t="s">
        <v>34</v>
      </c>
    </row>
    <row r="6" spans="1:6" x14ac:dyDescent="0.25">
      <c r="A6" s="25" t="s">
        <v>56</v>
      </c>
      <c r="B6" s="1">
        <v>250</v>
      </c>
      <c r="C6" s="1"/>
      <c r="D6" s="1"/>
      <c r="E6" s="1"/>
      <c r="F6" s="1">
        <v>250</v>
      </c>
    </row>
    <row r="7" spans="1:6" x14ac:dyDescent="0.25">
      <c r="A7" s="25" t="s">
        <v>57</v>
      </c>
      <c r="B7" s="1">
        <v>100</v>
      </c>
      <c r="C7" s="1"/>
      <c r="D7" s="1"/>
      <c r="E7" s="1"/>
      <c r="F7" s="1">
        <v>100</v>
      </c>
    </row>
    <row r="8" spans="1:6" x14ac:dyDescent="0.25">
      <c r="A8" s="25" t="s">
        <v>38</v>
      </c>
      <c r="B8" s="1">
        <v>100</v>
      </c>
      <c r="C8" s="1"/>
      <c r="D8" s="1"/>
      <c r="E8" s="1"/>
      <c r="F8" s="1">
        <v>100</v>
      </c>
    </row>
    <row r="9" spans="1:6" x14ac:dyDescent="0.25">
      <c r="A9" s="25" t="s">
        <v>40</v>
      </c>
      <c r="B9" s="1">
        <v>50</v>
      </c>
      <c r="C9" s="1"/>
      <c r="D9" s="1"/>
      <c r="E9" s="1"/>
      <c r="F9" s="1">
        <v>50</v>
      </c>
    </row>
    <row r="10" spans="1:6" ht="15.75" x14ac:dyDescent="0.25">
      <c r="A10" s="26" t="s">
        <v>55</v>
      </c>
      <c r="B10" s="25">
        <v>200</v>
      </c>
      <c r="C10" s="1"/>
      <c r="D10" s="1"/>
      <c r="E10" s="1">
        <v>100</v>
      </c>
      <c r="F10" s="1">
        <v>100</v>
      </c>
    </row>
    <row r="11" spans="1:6" ht="15.75" x14ac:dyDescent="0.25">
      <c r="A11" s="27" t="s">
        <v>48</v>
      </c>
    </row>
    <row r="12" spans="1:6" ht="15.75" x14ac:dyDescent="0.25">
      <c r="A12" s="26" t="s">
        <v>58</v>
      </c>
      <c r="B12" s="1">
        <v>500</v>
      </c>
      <c r="C12" s="1"/>
      <c r="D12" s="1"/>
      <c r="E12" s="1">
        <v>500</v>
      </c>
      <c r="F12" s="1"/>
    </row>
    <row r="13" spans="1:6" ht="15.75" x14ac:dyDescent="0.25">
      <c r="A13" s="26" t="s">
        <v>45</v>
      </c>
      <c r="B13" s="1">
        <v>2500</v>
      </c>
      <c r="C13" s="1">
        <v>1000</v>
      </c>
      <c r="D13" s="1"/>
      <c r="E13" s="1">
        <v>1500</v>
      </c>
      <c r="F13" s="1"/>
    </row>
    <row r="14" spans="1:6" ht="15.75" x14ac:dyDescent="0.25">
      <c r="A14" s="26" t="s">
        <v>46</v>
      </c>
      <c r="B14" s="1">
        <v>4500</v>
      </c>
      <c r="C14" s="1">
        <v>1000</v>
      </c>
      <c r="D14" s="1">
        <v>2000</v>
      </c>
      <c r="E14" s="1">
        <v>1000</v>
      </c>
      <c r="F14" s="1">
        <v>500</v>
      </c>
    </row>
    <row r="15" spans="1:6" ht="15.75" x14ac:dyDescent="0.25">
      <c r="A15" s="26" t="s">
        <v>47</v>
      </c>
      <c r="B15" s="1">
        <v>5000</v>
      </c>
      <c r="C15" s="1">
        <v>1000</v>
      </c>
      <c r="D15" s="1">
        <v>1500</v>
      </c>
      <c r="E15" s="1"/>
      <c r="F15" s="1">
        <v>2500</v>
      </c>
    </row>
    <row r="16" spans="1:6" ht="15.75" x14ac:dyDescent="0.25">
      <c r="A16" s="27" t="s">
        <v>52</v>
      </c>
    </row>
    <row r="17" spans="1:6" ht="15.75" x14ac:dyDescent="0.25">
      <c r="A17" s="26" t="s">
        <v>49</v>
      </c>
      <c r="B17" s="1"/>
      <c r="C17" s="1"/>
      <c r="D17" s="1"/>
      <c r="E17" s="1"/>
      <c r="F17" s="1"/>
    </row>
    <row r="18" spans="1:6" ht="15.75" x14ac:dyDescent="0.25">
      <c r="A18" s="26" t="s">
        <v>50</v>
      </c>
      <c r="B18" s="1"/>
      <c r="C18" s="1"/>
      <c r="D18" s="1"/>
      <c r="E18" s="1"/>
      <c r="F18" s="1"/>
    </row>
    <row r="19" spans="1:6" ht="15.75" x14ac:dyDescent="0.25">
      <c r="A19" s="26" t="s">
        <v>51</v>
      </c>
      <c r="B19" s="1">
        <v>300</v>
      </c>
      <c r="C19" s="1"/>
      <c r="D19" s="1"/>
      <c r="E19" s="1"/>
      <c r="F19" s="1">
        <v>300</v>
      </c>
    </row>
    <row r="20" spans="1:6" ht="15.75" x14ac:dyDescent="0.25">
      <c r="A20" s="26" t="s">
        <v>54</v>
      </c>
      <c r="B20" s="1">
        <v>200</v>
      </c>
      <c r="C20" s="1"/>
      <c r="D20" s="1"/>
      <c r="E20" s="1"/>
      <c r="F20" s="1">
        <v>200</v>
      </c>
    </row>
    <row r="21" spans="1:6" ht="15.75" x14ac:dyDescent="0.25">
      <c r="A21" s="27" t="s">
        <v>17</v>
      </c>
      <c r="B21">
        <f>SUM(B3:B20)</f>
        <v>18400</v>
      </c>
      <c r="C21">
        <f t="shared" ref="C21:F21" si="0">SUM(C3:C19)</f>
        <v>4000</v>
      </c>
      <c r="D21">
        <f t="shared" si="0"/>
        <v>5000</v>
      </c>
      <c r="E21">
        <f t="shared" si="0"/>
        <v>4600</v>
      </c>
      <c r="F21">
        <f t="shared" si="0"/>
        <v>4600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14" sqref="D14"/>
    </sheetView>
  </sheetViews>
  <sheetFormatPr defaultRowHeight="15" x14ac:dyDescent="0.25"/>
  <cols>
    <col min="1" max="1" width="24.5703125" bestFit="1" customWidth="1"/>
    <col min="2" max="2" width="9.7109375" bestFit="1" customWidth="1"/>
    <col min="4" max="4" width="9.5703125" bestFit="1" customWidth="1"/>
  </cols>
  <sheetData>
    <row r="1" spans="1:6" x14ac:dyDescent="0.25">
      <c r="A1" t="s">
        <v>32</v>
      </c>
    </row>
    <row r="2" spans="1:6" x14ac:dyDescent="0.25">
      <c r="A2" s="1" t="s">
        <v>22</v>
      </c>
      <c r="B2" s="1" t="s">
        <v>13</v>
      </c>
      <c r="C2" s="1" t="s">
        <v>23</v>
      </c>
      <c r="D2" s="1" t="s">
        <v>24</v>
      </c>
      <c r="E2" s="1" t="s">
        <v>25</v>
      </c>
      <c r="F2" s="1" t="s">
        <v>26</v>
      </c>
    </row>
    <row r="3" spans="1:6" x14ac:dyDescent="0.25">
      <c r="A3" s="1" t="s">
        <v>1</v>
      </c>
      <c r="B3" s="1">
        <v>618</v>
      </c>
      <c r="C3" s="1">
        <v>200</v>
      </c>
      <c r="D3" s="1">
        <v>418</v>
      </c>
      <c r="E3" s="1"/>
      <c r="F3" s="1"/>
    </row>
    <row r="4" spans="1:6" x14ac:dyDescent="0.25">
      <c r="A4" s="2" t="s">
        <v>2</v>
      </c>
      <c r="B4" s="1">
        <v>4550</v>
      </c>
      <c r="C4" s="1">
        <v>1500</v>
      </c>
      <c r="D4" s="1">
        <v>1500</v>
      </c>
      <c r="E4" s="1">
        <v>1500</v>
      </c>
      <c r="F4" s="1">
        <v>1500</v>
      </c>
    </row>
    <row r="5" spans="1:6" ht="15.75" x14ac:dyDescent="0.25">
      <c r="A5" s="27" t="s">
        <v>48</v>
      </c>
    </row>
    <row r="6" spans="1:6" ht="15.75" x14ac:dyDescent="0.25">
      <c r="A6" s="26" t="s">
        <v>58</v>
      </c>
      <c r="B6" s="1">
        <v>800</v>
      </c>
      <c r="C6" s="1"/>
      <c r="D6" s="1">
        <v>800</v>
      </c>
      <c r="E6" s="1"/>
      <c r="F6" s="1"/>
    </row>
    <row r="7" spans="1:6" ht="15.75" x14ac:dyDescent="0.25">
      <c r="A7" s="26" t="s">
        <v>45</v>
      </c>
      <c r="B7" s="1">
        <v>1028</v>
      </c>
      <c r="C7" s="1">
        <v>500</v>
      </c>
      <c r="D7" s="1">
        <v>528</v>
      </c>
      <c r="E7" s="1"/>
      <c r="F7" s="1"/>
    </row>
    <row r="8" spans="1:6" ht="15.75" x14ac:dyDescent="0.25">
      <c r="A8" s="26" t="s">
        <v>46</v>
      </c>
      <c r="B8" s="1">
        <v>1145</v>
      </c>
      <c r="C8" s="1">
        <v>500</v>
      </c>
      <c r="D8" s="1">
        <v>645</v>
      </c>
      <c r="E8" s="1"/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June-2022</vt:lpstr>
      <vt:lpstr>Jun-22 Prdn Plan</vt:lpstr>
      <vt:lpstr>Jul-22 Prdn Plan</vt:lpstr>
      <vt:lpstr>Aug-22 Prdn Plan</vt:lpstr>
      <vt:lpstr>Sep-22 prdn plan</vt:lpstr>
      <vt:lpstr>Oct-22 Prdn.Plan</vt:lpstr>
      <vt:lpstr>Nov-22 Prdn.Plan</vt:lpstr>
      <vt:lpstr>Dec-22 Prdn. 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2022-12-08T05:52:47Z</dcterms:modified>
</cp:coreProperties>
</file>